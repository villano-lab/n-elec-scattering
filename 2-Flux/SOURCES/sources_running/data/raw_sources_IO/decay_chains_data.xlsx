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BC289970-1C6A-984F-BCB4-A747D3F1A629}" xr6:coauthVersionLast="47" xr6:coauthVersionMax="47" xr10:uidLastSave="{00000000-0000-0000-0000-000000000000}"/>
  <bookViews>
    <workbookView xWindow="920" yWindow="1260" windowWidth="28040" windowHeight="17440" activeTab="9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  <sheet name="HDPE Density" sheetId="9" r:id="rId9"/>
    <sheet name="HDPE Target Fraction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0" l="1"/>
  <c r="H4" i="10"/>
  <c r="G4" i="10"/>
  <c r="F4" i="10"/>
  <c r="I4" i="10" s="1"/>
  <c r="C3" i="9"/>
  <c r="C2" i="9"/>
  <c r="E2" i="9"/>
  <c r="C4" i="9"/>
  <c r="I6" i="8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F2" i="9" l="1"/>
  <c r="H2" i="9" s="1"/>
  <c r="F3" i="9"/>
  <c r="H3" i="9" s="1"/>
  <c r="E3" i="7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F4" i="9" l="1"/>
  <c r="C34" i="6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H4" i="9" l="1"/>
  <c r="I2" i="9" s="1"/>
  <c r="C27" i="4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  <c r="I3" i="9" l="1"/>
  <c r="I4" i="9" l="1"/>
</calcChain>
</file>

<file path=xl/sharedStrings.xml><?xml version="1.0" encoding="utf-8"?>
<sst xmlns="http://schemas.openxmlformats.org/spreadsheetml/2006/main" count="207" uniqueCount="87">
  <si>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</si>
  <si>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</si>
  <si>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</si>
  <si>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</si>
  <si>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</si>
  <si>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</si>
  <si>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</si>
  <si>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</si>
  <si>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</si>
  <si>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</si>
  <si>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</si>
  <si>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</si>
  <si>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</si>
  <si>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</si>
  <si>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</si>
  <si>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</si>
  <si>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</si>
  <si>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</si>
  <si>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</si>
  <si>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</si>
  <si>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</si>
  <si>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</si>
  <si>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</si>
  <si>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</si>
  <si>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</si>
  <si>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</si>
  <si>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</si>
  <si>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</si>
  <si>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</si>
  <si>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</si>
  <si>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</si>
  <si>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</si>
  <si>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</si>
  <si>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</si>
  <si>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</si>
  <si>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</si>
  <si>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</si>
  <si>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</si>
  <si>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</si>
  <si>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</si>
  <si>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</si>
  <si>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</si>
  <si>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</si>
  <si>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</si>
  <si>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</si>
  <si>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</si>
  <si>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</si>
  <si>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</si>
  <si>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</si>
  <si>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</si>
  <si>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</si>
  <si>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</si>
  <si>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</si>
  <si>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</si>
  <si>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</si>
  <si>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</si>
  <si>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</si>
  <si>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</si>
  <si>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</si>
  <si>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</si>
  <si>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</si>
  <si>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</si>
  <si>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</si>
  <si>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</si>
  <si>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</si>
  <si>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</si>
  <si>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</si>
  <si>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</si>
  <si>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</si>
  <si>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</si>
  <si>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</si>
  <si>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</si>
  <si>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</si>
  <si>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</si>
  <si>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</si>
  <si>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</si>
  <si>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</si>
  <si>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</si>
  <si>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</si>
  <si>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</si>
  <si>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</si>
  <si>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</si>
  <si>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</si>
  <si>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</si>
  <si>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</si>
  <si>
    <t>Reference: https://www.xometry.com/resources/materials/high-density-polyethylene-hdpe/</t>
  </si>
  <si>
    <t>https://en.wikipedia.org/wiki/High-density_polyethylene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</si>
</sst>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B27" sqref="B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zoomScale="101" workbookViewId="0">
      <selection activeCell="B4" sqref="B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FA5-8A71-744C-9374-225D4CB3E2A2}">
  <dimension ref="A1:I14"/>
  <sheetViews>
    <sheetView zoomScale="101" workbookViewId="0">
      <selection activeCell="B14" sqref="B13:B14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55</v>
      </c>
      <c r="B2">
        <v>6</v>
      </c>
      <c r="C2">
        <f>(2*G2)/(2*G2+4*G3)</f>
        <v>0.8562967145468493</v>
      </c>
      <c r="D2">
        <v>961</v>
      </c>
      <c r="E2">
        <f>D2*(1000)*(1/100000)</f>
        <v>9.6100000000000012</v>
      </c>
      <c r="F2">
        <f>$E$2*(C2/100)</f>
        <v>8.2290114267952227E-2</v>
      </c>
      <c r="G2">
        <v>12.010999999999999</v>
      </c>
      <c r="H2">
        <f>(F2/G2)*6.0221408E+23</f>
        <v>4.1259067069327889E+21</v>
      </c>
      <c r="I2">
        <f>H2/$H$4</f>
        <v>0.33333333333333337</v>
      </c>
    </row>
    <row r="3" spans="1:9" x14ac:dyDescent="0.2">
      <c r="A3" t="s">
        <v>54</v>
      </c>
      <c r="B3">
        <v>1</v>
      </c>
      <c r="C3">
        <f>4*G3/(2*G2+4*G3)</f>
        <v>0.14370328545315073</v>
      </c>
      <c r="F3">
        <f>$E$2*(C3/100)</f>
        <v>1.3809885732047786E-2</v>
      </c>
      <c r="G3">
        <v>1.0078400000000001</v>
      </c>
      <c r="H3">
        <f t="shared" ref="H3" si="0">(F3/G3)*6.0221408E+23</f>
        <v>8.2518134138655778E+21</v>
      </c>
      <c r="I3">
        <f>H3/$H$4</f>
        <v>0.66666666666666674</v>
      </c>
    </row>
    <row r="4" spans="1:9" s="7" customFormat="1" x14ac:dyDescent="0.2">
      <c r="A4" s="7" t="s">
        <v>58</v>
      </c>
      <c r="C4" s="7">
        <f>SUM(C2:C3)</f>
        <v>1</v>
      </c>
      <c r="F4" s="7">
        <f>SUM(F2:F3)</f>
        <v>9.6100000000000019E-2</v>
      </c>
      <c r="H4" s="7">
        <f>SUM(H2:H3)</f>
        <v>1.2377720120798366E+22</v>
      </c>
      <c r="I4" s="7">
        <f>SUM(I2:I3)</f>
        <v>1</v>
      </c>
    </row>
    <row r="7" spans="1:9" x14ac:dyDescent="0.2">
      <c r="A7" t="s">
        <v>85</v>
      </c>
    </row>
    <row r="8" spans="1:9" x14ac:dyDescent="0.2">
      <c r="A8" t="s">
        <v>86</v>
      </c>
    </row>
    <row r="12" spans="1:9" s="9" customFormat="1" x14ac:dyDescent="0.2">
      <c r="A12" s="9" t="s">
        <v>44</v>
      </c>
      <c r="B12" s="9" t="s">
        <v>70</v>
      </c>
    </row>
    <row r="13" spans="1:9" x14ac:dyDescent="0.2">
      <c r="A13">
        <v>1</v>
      </c>
      <c r="B13">
        <v>0.66666666666666674</v>
      </c>
    </row>
    <row r="14" spans="1:9" x14ac:dyDescent="0.2">
      <c r="A14">
        <v>6</v>
      </c>
      <c r="B14">
        <v>0.33333333333333337</v>
      </c>
    </row>
  </sheetData>
  <sortState xmlns:xlrd2="http://schemas.microsoft.com/office/spreadsheetml/2017/richdata2" ref="A13:B14">
    <sortCondition ref="A13:A1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AF81-16D7-474F-BD5F-BBF85E960ACE}">
  <dimension ref="A1:I5"/>
  <sheetViews>
    <sheetView tabSelected="1" zoomScale="101" workbookViewId="0">
      <selection activeCell="D4" sqref="D4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0.66666666666666674</v>
      </c>
    </row>
    <row r="3" spans="1:9" x14ac:dyDescent="0.2">
      <c r="A3">
        <v>6</v>
      </c>
      <c r="B3">
        <v>0.33333333333333337</v>
      </c>
    </row>
    <row r="4" spans="1:9" x14ac:dyDescent="0.2">
      <c r="B4">
        <v>0.33333333333333337</v>
      </c>
      <c r="C4" s="22">
        <v>13</v>
      </c>
      <c r="D4" s="25">
        <v>0.96</v>
      </c>
      <c r="E4" s="25">
        <v>1.6</v>
      </c>
      <c r="F4" s="25">
        <f>B4*(D4+E4)/200</f>
        <v>4.2666666666666677E-3</v>
      </c>
      <c r="G4" s="25">
        <f>B4*D4/100</f>
        <v>3.2000000000000002E-3</v>
      </c>
      <c r="H4" s="25">
        <f>B4*E4/100</f>
        <v>5.333333333333334E-3</v>
      </c>
      <c r="I4" s="25">
        <f>F4*'Shotcrete Hang'!$B$13</f>
        <v>2.0231936000000006E-4</v>
      </c>
    </row>
    <row r="5" spans="1:9" s="7" customFormat="1" x14ac:dyDescent="0.2">
      <c r="B5" s="16">
        <f>B2+B3</f>
        <v>1</v>
      </c>
      <c r="C5" s="23"/>
      <c r="D5" s="26"/>
      <c r="E5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  <vt:lpstr>HDPE Density</vt:lpstr>
      <vt:lpstr>HDPE Target Fractions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2026-01-15T00:23:07Z</dcterms:modified>
</cp:coreProperties>
</file>