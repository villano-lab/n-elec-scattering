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205B030F-2A48-D940-A0A9-B0620E812CDA}" xr6:coauthVersionLast="47" xr6:coauthVersionMax="47" xr10:uidLastSave="{00000000-0000-0000-0000-000000000000}"/>
  <bookViews>
    <workbookView xWindow="920" yWindow="1260" windowWidth="28040" windowHeight="17440" firstSheet="5" activeTab="12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  <sheet name="HDPE Density" sheetId="9" r:id="rId9"/>
    <sheet name="HDPE Target Fractions" sheetId="10" r:id="rId10"/>
    <sheet name="Cu Density" sheetId="12" r:id="rId11"/>
    <sheet name="Cu Target Fractions " sheetId="11" r:id="rId12"/>
    <sheet name="Pb Density" sheetId="13" r:id="rId13"/>
    <sheet name="Pb Target Fractions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4" l="1"/>
  <c r="G6" i="14"/>
  <c r="F6" i="14"/>
  <c r="E6" i="14"/>
  <c r="D6" i="14"/>
  <c r="H5" i="14"/>
  <c r="G5" i="14"/>
  <c r="F5" i="14"/>
  <c r="E5" i="14"/>
  <c r="D5" i="14"/>
  <c r="E4" i="14"/>
  <c r="D4" i="14"/>
  <c r="E3" i="14"/>
  <c r="D3" i="14"/>
  <c r="B7" i="14"/>
  <c r="H4" i="14"/>
  <c r="G4" i="14"/>
  <c r="H3" i="14"/>
  <c r="F3" i="14"/>
  <c r="C3" i="13"/>
  <c r="E2" i="13"/>
  <c r="F2" i="13" s="1"/>
  <c r="E2" i="12"/>
  <c r="C3" i="12"/>
  <c r="D4" i="11"/>
  <c r="E4" i="11"/>
  <c r="H4" i="11" s="1"/>
  <c r="E3" i="11"/>
  <c r="D3" i="11"/>
  <c r="B5" i="11"/>
  <c r="G4" i="11"/>
  <c r="F4" i="11"/>
  <c r="H3" i="11"/>
  <c r="G3" i="11"/>
  <c r="F3" i="11"/>
  <c r="B5" i="10"/>
  <c r="H4" i="10"/>
  <c r="G4" i="10"/>
  <c r="F4" i="10"/>
  <c r="I4" i="10" s="1"/>
  <c r="C3" i="9"/>
  <c r="C2" i="9"/>
  <c r="E2" i="9"/>
  <c r="C4" i="9"/>
  <c r="I6" i="8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G3" i="14" l="1"/>
  <c r="F4" i="14"/>
  <c r="F3" i="13"/>
  <c r="H2" i="13"/>
  <c r="F2" i="12"/>
  <c r="F2" i="9"/>
  <c r="H2" i="9" s="1"/>
  <c r="F3" i="9"/>
  <c r="H3" i="9" s="1"/>
  <c r="E3" i="7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H3" i="13" l="1"/>
  <c r="I2" i="13" s="1"/>
  <c r="I3" i="13" s="1"/>
  <c r="F3" i="12"/>
  <c r="H2" i="12"/>
  <c r="F4" i="9"/>
  <c r="C34" i="6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H3" i="12" l="1"/>
  <c r="I2" i="12" s="1"/>
  <c r="I3" i="12" s="1"/>
  <c r="H4" i="9"/>
  <c r="I2" i="9" s="1"/>
  <c r="C27" i="4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  <c r="I3" i="9" l="1"/>
  <c r="I4" i="9" l="1"/>
</calcChain>
</file>

<file path=xl/sharedStrings.xml><?xml version="1.0" encoding="utf-8"?>
<sst xmlns="http://schemas.openxmlformats.org/spreadsheetml/2006/main" count="251" uniqueCount="91">
  <si>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</si>
  <si>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</si>
  <si>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</si>
  <si>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</si>
  <si>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</si>
  <si>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</si>
  <si>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</si>
  <si>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</si>
  <si>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</si>
  <si>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</si>
  <si>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</si>
  <si>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</si>
  <si>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</si>
  <si>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</si>
  <si>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</si>
  <si>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</si>
  <si>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</si>
  <si>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</si>
  <si>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</si>
  <si>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</si>
  <si>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</si>
  <si>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</si>
  <si>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</si>
  <si>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</si>
  <si>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</si>
  <si>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</si>
  <si>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</si>
  <si>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</si>
  <si>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</si>
  <si>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</si>
  <si>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</si>
  <si>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</si>
  <si>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</si>
  <si>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</si>
  <si>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</si>
  <si>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</si>
  <si>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</si>
  <si>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</si>
  <si>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</si>
  <si>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</si>
  <si>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</si>
  <si>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</si>
  <si>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</si>
  <si>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</si>
  <si>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</si>
  <si>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</si>
  <si>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</si>
  <si>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</si>
  <si>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</si>
  <si>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</si>
  <si>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</si>
  <si>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</si>
  <si>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</si>
  <si>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</si>
  <si>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</si>
  <si>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</si>
  <si>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</si>
  <si>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</si>
  <si>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</si>
  <si>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</si>
  <si>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</si>
  <si>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</si>
  <si>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</si>
  <si>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</si>
  <si>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</si>
  <si>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</si>
  <si>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</si>
  <si>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</si>
  <si>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</si>
  <si>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</si>
  <si>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</si>
  <si>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</si>
  <si>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</si>
  <si>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</si>
  <si>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</si>
  <si>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</si>
  <si>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</si>
  <si>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</si>
  <si>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</si>
  <si>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</si>
  <si>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</si>
  <si>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</si>
  <si>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</si>
  <si>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</si>
  <si>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</si>
  <si>
    <t>Reference: https://www.xometry.com/resources/materials/high-density-polyethylene-hdpe/</t>
  </si>
  <si>
    <t>https://en.wikipedia.org/wiki/High-density_polyethylene</t>
  </si>
  <si>
    <t>Cu</t>
  </si>
  <si>
    <t>https://en.wikipedia.org/wiki/Copper</t>
  </si>
  <si>
    <t>Pb</t>
  </si>
  <si>
    <t>https://en.wikipedia.org/wiki/Lead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</si>
</sst>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B27" sqref="B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zoomScale="101" workbookViewId="0">
      <selection activeCell="F31" sqref="F31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FA5-8A71-744C-9374-225D4CB3E2A2}">
  <dimension ref="A1:I14"/>
  <sheetViews>
    <sheetView zoomScale="101" workbookViewId="0">
      <selection activeCell="F31" sqref="F31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55</v>
      </c>
      <c r="B2">
        <v>6</v>
      </c>
      <c r="C2">
        <f>(2*G2)/(2*G2+4*G3)</f>
        <v>0.8562967145468493</v>
      </c>
      <c r="D2">
        <v>961</v>
      </c>
      <c r="E2">
        <f>D2*(1000)*(1/100000)</f>
        <v>9.6100000000000012</v>
      </c>
      <c r="F2">
        <f>$E$2*(C2/100)</f>
        <v>8.2290114267952227E-2</v>
      </c>
      <c r="G2">
        <v>12.010999999999999</v>
      </c>
      <c r="H2">
        <f>(F2/G2)*6.0221408E+23</f>
        <v>4.1259067069327889E+21</v>
      </c>
      <c r="I2">
        <f>H2/$H$4</f>
        <v>0.33333333333333337</v>
      </c>
    </row>
    <row r="3" spans="1:9" x14ac:dyDescent="0.2">
      <c r="A3" t="s">
        <v>54</v>
      </c>
      <c r="B3">
        <v>1</v>
      </c>
      <c r="C3">
        <f>4*G3/(2*G2+4*G3)</f>
        <v>0.14370328545315073</v>
      </c>
      <c r="F3">
        <f>$E$2*(C3/100)</f>
        <v>1.3809885732047786E-2</v>
      </c>
      <c r="G3">
        <v>1.0078400000000001</v>
      </c>
      <c r="H3">
        <f t="shared" ref="H3" si="0">(F3/G3)*6.0221408E+23</f>
        <v>8.2518134138655778E+21</v>
      </c>
      <c r="I3">
        <f>H3/$H$4</f>
        <v>0.66666666666666674</v>
      </c>
    </row>
    <row r="4" spans="1:9" s="7" customFormat="1" x14ac:dyDescent="0.2">
      <c r="A4" s="7" t="s">
        <v>58</v>
      </c>
      <c r="C4" s="7">
        <f>SUM(C2:C3)</f>
        <v>1</v>
      </c>
      <c r="F4" s="7">
        <f>SUM(F2:F3)</f>
        <v>9.6100000000000019E-2</v>
      </c>
      <c r="H4" s="7">
        <f>SUM(H2:H3)</f>
        <v>1.2377720120798366E+22</v>
      </c>
      <c r="I4" s="7">
        <f>SUM(I2:I3)</f>
        <v>1</v>
      </c>
    </row>
    <row r="7" spans="1:9" x14ac:dyDescent="0.2">
      <c r="A7" t="s">
        <v>85</v>
      </c>
    </row>
    <row r="8" spans="1:9" x14ac:dyDescent="0.2">
      <c r="A8" t="s">
        <v>86</v>
      </c>
    </row>
    <row r="12" spans="1:9" s="9" customFormat="1" x14ac:dyDescent="0.2">
      <c r="A12" s="9" t="s">
        <v>44</v>
      </c>
      <c r="B12" s="9" t="s">
        <v>70</v>
      </c>
    </row>
    <row r="13" spans="1:9" x14ac:dyDescent="0.2">
      <c r="A13">
        <v>1</v>
      </c>
      <c r="B13">
        <v>0.66666666666666674</v>
      </c>
    </row>
    <row r="14" spans="1:9" x14ac:dyDescent="0.2">
      <c r="A14">
        <v>6</v>
      </c>
      <c r="B14">
        <v>0.33333333333333337</v>
      </c>
    </row>
  </sheetData>
  <sortState xmlns:xlrd2="http://schemas.microsoft.com/office/spreadsheetml/2017/richdata2" ref="A13:B14">
    <sortCondition ref="A13:A1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AF81-16D7-474F-BD5F-BBF85E960ACE}">
  <dimension ref="A1:I5"/>
  <sheetViews>
    <sheetView zoomScale="101" workbookViewId="0">
      <selection activeCell="F4" sqref="F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0.66666666666666674</v>
      </c>
    </row>
    <row r="3" spans="1:9" x14ac:dyDescent="0.2">
      <c r="A3">
        <v>6</v>
      </c>
      <c r="B3">
        <v>0.33333333333333337</v>
      </c>
    </row>
    <row r="4" spans="1:9" x14ac:dyDescent="0.2">
      <c r="B4">
        <v>0.33333333333333337</v>
      </c>
      <c r="C4" s="22">
        <v>13</v>
      </c>
      <c r="D4" s="25">
        <v>0.96</v>
      </c>
      <c r="E4" s="25">
        <v>1.6</v>
      </c>
      <c r="F4" s="25">
        <f>B4*(D4+E4)/200</f>
        <v>4.2666666666666677E-3</v>
      </c>
      <c r="G4" s="25">
        <f>B4*D4/100</f>
        <v>3.2000000000000002E-3</v>
      </c>
      <c r="H4" s="25">
        <f>B4*E4/100</f>
        <v>5.333333333333334E-3</v>
      </c>
      <c r="I4" s="25">
        <f>F4*'Shotcrete Hang'!$B$13</f>
        <v>2.0231936000000006E-4</v>
      </c>
    </row>
    <row r="5" spans="1:9" s="7" customFormat="1" x14ac:dyDescent="0.2">
      <c r="B5" s="16">
        <f>B2+B3</f>
        <v>1</v>
      </c>
      <c r="C5" s="23"/>
      <c r="D5" s="26"/>
      <c r="E5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E71AD-7B86-084C-935A-71150EDA902D}">
  <dimension ref="A1:I12"/>
  <sheetViews>
    <sheetView zoomScale="101" workbookViewId="0">
      <selection activeCell="B25" sqref="B25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87</v>
      </c>
      <c r="B2">
        <v>6</v>
      </c>
      <c r="C2">
        <v>1</v>
      </c>
      <c r="D2">
        <v>8960</v>
      </c>
      <c r="E2">
        <f>D2*(1000)*(1/100000)</f>
        <v>89.600000000000009</v>
      </c>
      <c r="F2">
        <f>$E$2*(C2/100)</f>
        <v>0.89600000000000013</v>
      </c>
      <c r="G2">
        <v>63.545999999999999</v>
      </c>
      <c r="H2">
        <f>(F2/G2)*6.0221408E+23</f>
        <v>8.4912317955496823E+21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0.89600000000000013</v>
      </c>
      <c r="H3" s="7">
        <f>SUM(H2:H2)</f>
        <v>8.4912317955496823E+21</v>
      </c>
      <c r="I3" s="7">
        <f>SUM(I2:I2)</f>
        <v>1</v>
      </c>
    </row>
    <row r="6" spans="1:9" x14ac:dyDescent="0.2">
      <c r="A6" t="s">
        <v>88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29</v>
      </c>
      <c r="B1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60A3-E749-C640-A85B-BE199B31A592}">
  <dimension ref="A1:I5"/>
  <sheetViews>
    <sheetView zoomScale="101" workbookViewId="0">
      <selection activeCell="F12" sqref="F12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29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63</v>
      </c>
      <c r="D3" s="25">
        <f>69.15*(1-0.15)</f>
        <v>58.777500000000003</v>
      </c>
      <c r="E3" s="25">
        <f>69.15*(1+0.15)</f>
        <v>79.522499999999994</v>
      </c>
      <c r="F3" s="25">
        <f t="shared" ref="F3:F4" si="0">B3*(D3+E3)/200</f>
        <v>0.6915</v>
      </c>
      <c r="G3" s="25">
        <f t="shared" ref="G3:G4" si="1">B3*D3/100</f>
        <v>0.58777500000000005</v>
      </c>
      <c r="H3" s="25">
        <f t="shared" ref="H3:H4" si="2">B3*E3/100</f>
        <v>0.79522499999999996</v>
      </c>
      <c r="I3" s="25"/>
    </row>
    <row r="4" spans="1:9" x14ac:dyDescent="0.2">
      <c r="B4">
        <v>1</v>
      </c>
      <c r="C4" s="22">
        <v>65</v>
      </c>
      <c r="D4" s="25">
        <f>30.85*(0.85)</f>
        <v>26.2225</v>
      </c>
      <c r="E4" s="25">
        <f>30.85*1.15</f>
        <v>35.477499999999999</v>
      </c>
      <c r="F4" s="25">
        <f t="shared" si="0"/>
        <v>0.3085</v>
      </c>
      <c r="G4" s="25">
        <f t="shared" si="1"/>
        <v>0.26222499999999999</v>
      </c>
      <c r="H4" s="25">
        <f t="shared" si="2"/>
        <v>0.35477500000000001</v>
      </c>
      <c r="I4" s="25"/>
    </row>
    <row r="5" spans="1:9" s="7" customFormat="1" x14ac:dyDescent="0.2">
      <c r="B5" s="16">
        <f>B2</f>
        <v>1</v>
      </c>
      <c r="C5" s="23"/>
      <c r="D5" s="26"/>
      <c r="E5" s="2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F476-C16E-F542-A930-1F8245D1666E}">
  <dimension ref="A1:I12"/>
  <sheetViews>
    <sheetView tabSelected="1" zoomScale="101" workbookViewId="0">
      <selection activeCell="A13" sqref="A13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89</v>
      </c>
      <c r="B2">
        <v>82</v>
      </c>
      <c r="C2">
        <v>1</v>
      </c>
      <c r="D2">
        <v>11340</v>
      </c>
      <c r="E2">
        <f>D2*(1000)*(1/100000)</f>
        <v>113.4</v>
      </c>
      <c r="F2">
        <f>$E$2*(C2/100)</f>
        <v>1.1340000000000001</v>
      </c>
      <c r="G2">
        <v>207.2</v>
      </c>
      <c r="H2">
        <f>(F2/G2)*6.0221408E+23</f>
        <v>3.2959013837837839E+21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1.1340000000000001</v>
      </c>
      <c r="H3" s="7">
        <f>SUM(H2:H2)</f>
        <v>3.2959013837837839E+21</v>
      </c>
      <c r="I3" s="7">
        <f>SUM(I2:I2)</f>
        <v>1</v>
      </c>
    </row>
    <row r="6" spans="1:9" x14ac:dyDescent="0.2">
      <c r="A6" t="s">
        <v>90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82</v>
      </c>
      <c r="B12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323B4-ACF2-0B48-8FDD-57E99702E4D7}">
  <dimension ref="A1:I7"/>
  <sheetViews>
    <sheetView zoomScale="101" workbookViewId="0">
      <selection activeCell="H14" sqref="H1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82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204</v>
      </c>
      <c r="D3" s="25">
        <f>1.4*(1-0.06)</f>
        <v>1.3159999999999998</v>
      </c>
      <c r="E3" s="25">
        <f>1.4*(1+0.06)</f>
        <v>1.484</v>
      </c>
      <c r="F3" s="25">
        <f t="shared" ref="F3:F6" si="0">B3*(D3+E3)/200</f>
        <v>1.3999999999999999E-2</v>
      </c>
      <c r="G3" s="25">
        <f t="shared" ref="G3:G6" si="1">B3*D3/100</f>
        <v>1.3159999999999998E-2</v>
      </c>
      <c r="H3" s="25">
        <f t="shared" ref="H3:H6" si="2">B3*E3/100</f>
        <v>1.4839999999999999E-2</v>
      </c>
      <c r="I3" s="25"/>
    </row>
    <row r="4" spans="1:9" x14ac:dyDescent="0.2">
      <c r="B4">
        <v>1</v>
      </c>
      <c r="C4" s="22">
        <v>206</v>
      </c>
      <c r="D4" s="25">
        <f>24.1*(0.7)</f>
        <v>16.87</v>
      </c>
      <c r="E4" s="25">
        <f>24.1*1.3</f>
        <v>31.330000000000002</v>
      </c>
      <c r="F4" s="25">
        <f t="shared" si="0"/>
        <v>0.24100000000000002</v>
      </c>
      <c r="G4" s="25">
        <f t="shared" si="1"/>
        <v>0.16870000000000002</v>
      </c>
      <c r="H4" s="25">
        <f t="shared" si="2"/>
        <v>0.31330000000000002</v>
      </c>
      <c r="I4" s="25"/>
    </row>
    <row r="5" spans="1:9" x14ac:dyDescent="0.2">
      <c r="B5">
        <v>1</v>
      </c>
      <c r="C5" s="22">
        <v>207</v>
      </c>
      <c r="D5" s="25">
        <f>22.1*0.5</f>
        <v>11.05</v>
      </c>
      <c r="E5" s="25">
        <f>22.1*1.5</f>
        <v>33.150000000000006</v>
      </c>
      <c r="F5" s="25">
        <f t="shared" si="0"/>
        <v>0.221</v>
      </c>
      <c r="G5" s="25">
        <f t="shared" si="1"/>
        <v>0.1105</v>
      </c>
      <c r="H5" s="25">
        <f t="shared" si="2"/>
        <v>0.33150000000000007</v>
      </c>
      <c r="I5" s="25"/>
    </row>
    <row r="6" spans="1:9" x14ac:dyDescent="0.2">
      <c r="B6">
        <v>1</v>
      </c>
      <c r="C6" s="22">
        <v>208</v>
      </c>
      <c r="D6" s="25">
        <f>52.4-0.7</f>
        <v>51.699999999999996</v>
      </c>
      <c r="E6" s="25">
        <f>52.4+0.7</f>
        <v>53.1</v>
      </c>
      <c r="F6" s="25">
        <f t="shared" si="0"/>
        <v>0.52400000000000002</v>
      </c>
      <c r="G6" s="25">
        <f t="shared" si="1"/>
        <v>0.5169999999999999</v>
      </c>
      <c r="H6" s="25">
        <f t="shared" si="2"/>
        <v>0.53100000000000003</v>
      </c>
      <c r="I6" s="25"/>
    </row>
    <row r="7" spans="1:9" s="7" customFormat="1" x14ac:dyDescent="0.2">
      <c r="B7" s="16">
        <f>B2</f>
        <v>1</v>
      </c>
      <c r="C7" s="23"/>
      <c r="D7" s="26"/>
      <c r="E7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  <vt:lpstr>HDPE Density</vt:lpstr>
      <vt:lpstr>HDPE Target Fractions</vt:lpstr>
      <vt:lpstr>Cu Density</vt:lpstr>
      <vt:lpstr>Cu Target Fractions </vt:lpstr>
      <vt:lpstr>Pb Density</vt:lpstr>
      <vt:lpstr>Pb Target Fractions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2026-01-16T20:54:56Z</dcterms:modified>
</cp:coreProperties>
</file>